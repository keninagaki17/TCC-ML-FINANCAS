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agaki\OneDrive - Digicorner\Desktop\Trabalho de Conclusão de Curso - UFRJ.2025\Correção\versão atualizada\TESTE BOVA 11\"/>
    </mc:Choice>
  </mc:AlternateContent>
  <xr:revisionPtr revIDLastSave="0" documentId="13_ncr:1_{E4726EDE-1199-439F-B6B0-E555394AF6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dicoes_2024" sheetId="1" r:id="rId1"/>
    <sheet name="metricas_h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E14" i="1" s="1"/>
  <c r="D2" i="1"/>
  <c r="D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<sst xmlns="http://schemas.openxmlformats.org/spreadsheetml/2006/main" count="10" uniqueCount="10">
  <si>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date</t>
  </si>
  <si>
    <t>close_pred</t>
  </si>
  <si>
    <t>MAE_hist</t>
  </si>
  <si>
    <t>RMSE_hist</t>
  </si>
  <si>
    <t>R2_hist</t>
  </si>
  <si>
    <t>m__alpha</t>
  </si>
  <si>
    <t>valores reais</t>
  </si>
  <si>
    <t>Erro Absoluto</t>
  </si>
  <si>
    <t>Erro quadrado</t>
  </si>
  <si>
    <t>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</si>
</sst>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2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4" sqref="D14"/>
    </sheetView>
  </sheetViews>
  <sheetFormatPr defaultRowHeight="14.5" x14ac:dyDescent="0.35"/>
  <cols>
    <col min="1" max="1" width="10.453125" bestFit="1" customWidth="1"/>
    <col min="2" max="2" width="15.26953125" bestFit="1" customWidth="1"/>
    <col min="3" max="3" width="11.54296875" bestFit="1" customWidth="1"/>
    <col min="4" max="4" width="12.36328125" bestFit="1" customWidth="1"/>
    <col min="5" max="5" width="13.08984375" bestFit="1" customWidth="1"/>
    <col min="6" max="6" width="14.1796875" bestFit="1" customWidth="1"/>
  </cols>
  <sheetData>
    <row r="1" spans="1:6" x14ac:dyDescent="0.35">
      <c r="A1" s="1" t="s">
        <v>0</v>
      </c>
      <c r="B1" s="1" t="s">
        <v>1</v>
      </c>
      <c r="C1" s="2" t="s">
        <v>6</v>
      </c>
      <c r="D1" s="2" t="s">
        <v>7</v>
      </c>
      <c r="E1" s="2" t="s">
        <v>8</v>
      </c>
    </row>
    <row r="2" spans="1:6" x14ac:dyDescent="0.35">
      <c r="A2" s="5">
        <v>45292</v>
      </c>
      <c r="B2">
        <v>126.4440824977018</v>
      </c>
      <c r="C2">
        <v>123.95</v>
      </c>
      <c r="D2" s="3">
        <f>ABS(B2-C2)</f>
        <v>2.4940824977017968</v>
      </c>
      <c r="E2" s="3">
        <f>(B2-C2)^2</f>
        <v>6.2204475053424328</v>
      </c>
      <c r="F2" s="4"/>
    </row>
    <row r="3" spans="1:6" x14ac:dyDescent="0.35">
      <c r="A3" s="5">
        <v>45323</v>
      </c>
      <c r="B3">
        <v>127.4710666224635</v>
      </c>
      <c r="C3">
        <v>125.25</v>
      </c>
      <c r="D3" s="3">
        <f>ABS(B3-C3)</f>
        <v>2.2210666224634963</v>
      </c>
      <c r="E3" s="3">
        <f>(B3-C3)^2</f>
        <v>4.9331369414214032</v>
      </c>
      <c r="F3" s="4"/>
    </row>
    <row r="4" spans="1:6" x14ac:dyDescent="0.35">
      <c r="A4" s="5">
        <v>45352</v>
      </c>
      <c r="B4">
        <v>126.8683370631791</v>
      </c>
      <c r="C4">
        <v>124.33</v>
      </c>
      <c r="D4" s="3">
        <f>ABS(B4-C4)</f>
        <v>2.5383370631790996</v>
      </c>
      <c r="E4" s="3">
        <f>(B4-C4)^2</f>
        <v>6.4431550463086964</v>
      </c>
      <c r="F4" s="4"/>
    </row>
    <row r="5" spans="1:6" x14ac:dyDescent="0.35">
      <c r="A5" s="5">
        <v>45383</v>
      </c>
      <c r="B5">
        <v>124.1483228730909</v>
      </c>
      <c r="C5">
        <v>122.38</v>
      </c>
      <c r="D5" s="3">
        <f>ABS(B5-C5)</f>
        <v>1.7683228730909093</v>
      </c>
      <c r="E5" s="3">
        <f>(B5-C5)^2</f>
        <v>3.1269657834964879</v>
      </c>
      <c r="F5" s="4"/>
    </row>
    <row r="6" spans="1:6" x14ac:dyDescent="0.35">
      <c r="A6" s="5">
        <v>45413</v>
      </c>
      <c r="B6">
        <v>123.739047273696</v>
      </c>
      <c r="C6">
        <v>118.66</v>
      </c>
      <c r="D6" s="3">
        <f>ABS(B6-C6)</f>
        <v>5.0790472736960055</v>
      </c>
      <c r="E6" s="3">
        <f>(B6-C6)^2</f>
        <v>25.796721208438825</v>
      </c>
      <c r="F6" s="4"/>
    </row>
    <row r="7" spans="1:6" x14ac:dyDescent="0.35">
      <c r="A7" s="5">
        <v>45444</v>
      </c>
      <c r="B7">
        <v>123.7209977474819</v>
      </c>
      <c r="C7">
        <v>120.38</v>
      </c>
      <c r="D7" s="3">
        <f>ABS(B7-C7)</f>
        <v>3.3409977474819073</v>
      </c>
      <c r="E7" s="3">
        <f>(B7-C7)^2</f>
        <v>11.162265948679178</v>
      </c>
      <c r="F7" s="4"/>
    </row>
    <row r="8" spans="1:6" x14ac:dyDescent="0.35">
      <c r="A8" s="5">
        <v>45474</v>
      </c>
      <c r="B8">
        <v>123.1931687576125</v>
      </c>
      <c r="C8">
        <v>124.04</v>
      </c>
      <c r="D8" s="3">
        <f>ABS(B8-C8)</f>
        <v>0.84683124238750906</v>
      </c>
      <c r="E8" s="3">
        <f>(B8-C8)^2</f>
        <v>0.71712315308357211</v>
      </c>
      <c r="F8" s="4"/>
    </row>
    <row r="9" spans="1:6" x14ac:dyDescent="0.35">
      <c r="A9" s="5">
        <v>45505</v>
      </c>
      <c r="B9">
        <v>123.0925507514506</v>
      </c>
      <c r="C9">
        <v>132.6</v>
      </c>
      <c r="D9" s="3">
        <f>ABS(B9-C9)</f>
        <v>9.507449248549392</v>
      </c>
      <c r="E9" s="3">
        <f>(B9-C9)^2</f>
        <v>90.391591213742402</v>
      </c>
      <c r="F9" s="4"/>
    </row>
    <row r="10" spans="1:6" x14ac:dyDescent="0.35">
      <c r="A10" s="5">
        <v>45536</v>
      </c>
      <c r="B10">
        <v>122.9074404749724</v>
      </c>
      <c r="C10">
        <v>128.43</v>
      </c>
      <c r="D10" s="3">
        <f>ABS(B10-C10)</f>
        <v>5.5225595250276029</v>
      </c>
      <c r="E10" s="3">
        <f>(B10-C10)^2</f>
        <v>30.498663707473103</v>
      </c>
      <c r="F10" s="4"/>
    </row>
    <row r="11" spans="1:6" x14ac:dyDescent="0.35">
      <c r="A11" s="5">
        <v>45566</v>
      </c>
      <c r="B11">
        <v>122.39737109946169</v>
      </c>
      <c r="C11">
        <v>126.26</v>
      </c>
      <c r="D11" s="3">
        <f>ABS(B11-C11)</f>
        <v>3.8626289005383114</v>
      </c>
      <c r="E11" s="3">
        <f>(B11-C11)^2</f>
        <v>14.919902023273805</v>
      </c>
      <c r="F11" s="4"/>
    </row>
    <row r="12" spans="1:6" x14ac:dyDescent="0.35">
      <c r="A12" s="5">
        <v>45597</v>
      </c>
      <c r="B12">
        <v>122.0883763782433</v>
      </c>
      <c r="C12">
        <v>122.32</v>
      </c>
      <c r="D12" s="3">
        <f>ABS(B12-C12)</f>
        <v>0.23162362175669671</v>
      </c>
      <c r="E12" s="3">
        <f>(B12-C12)^2</f>
        <v>5.3649502155689303E-2</v>
      </c>
      <c r="F12" s="4"/>
    </row>
    <row r="13" spans="1:6" x14ac:dyDescent="0.35">
      <c r="A13" s="5">
        <v>45627</v>
      </c>
      <c r="B13">
        <v>121.78972586657299</v>
      </c>
      <c r="C13">
        <v>117.27</v>
      </c>
      <c r="D13" s="3">
        <f>ABS(B13-C13)</f>
        <v>4.5197258665729976</v>
      </c>
      <c r="E13" s="3">
        <f>(B13-C13)^2</f>
        <v>20.427921908969033</v>
      </c>
      <c r="F13" s="4"/>
    </row>
    <row r="14" spans="1:6" x14ac:dyDescent="0.35">
      <c r="C14" t="s">
        <v>9</v>
      </c>
      <c r="D14" s="3">
        <f>AVERAGE(D2:D13)</f>
        <v>3.4943893735371439</v>
      </c>
      <c r="E14" s="3">
        <f>SQRT(AVERAGE(E2:E13))</f>
        <v>4.2297709152149974</v>
      </c>
      <c r="F14" s="4" cm="1">
        <f t="array" ref="F14">1-SUMPRODUCT((C2:C13-B2:B13)^2)/SUMPRODUCT((C2:C13-AVERAGE(C2:C13))^2)</f>
        <v>-0.11615265141475839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2" sqref="C2"/>
    </sheetView>
  </sheetViews>
  <sheetFormatPr defaultRowHeight="14.5" x14ac:dyDescent="0.35"/>
  <sheetData>
    <row r="1" spans="1:4" x14ac:dyDescent="0.3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5">
      <c r="A2">
        <v>1.770617547952845</v>
      </c>
      <c r="B2">
        <v>2.1493329141701061</v>
      </c>
      <c r="C2">
        <v>0.90693666388161565</v>
      </c>
      <c r="D2">
        <v>1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predicoes_2024</vt:lpstr>
      <vt:lpstr>metricas_hist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Vasconcelos Inagaki-External</cp:lastModifiedBy>
  <dcterms:created xsi:type="dcterms:W3CDTF">2025-11-08T17:22:41Z</dcterms:created>
  <dcterms:modified xsi:type="dcterms:W3CDTF">2025-11-10T04:19:46Z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064f6f3-ba1e-417c-b6f1-929d6caea309_Enabled">
    <vt:lpwstr>true</vt:lpwstr>
  </property>
  <property fmtid="{D5CDD505-2E9C-101B-9397-08002B2CF9AE}" pid="5" name="MSIP_Label_b064f6f3-ba1e-417c-b6f1-929d6caea309_SetDate">
    <vt:lpwstr>2025-11-08T17:22:59Z</vt:lpwstr>
  </property>
  <property fmtid="{D5CDD505-2E9C-101B-9397-08002B2CF9AE}" pid="6" name="MSIP_Label_b064f6f3-ba1e-417c-b6f1-929d6caea309_Method">
    <vt:lpwstr>Privileged</vt:lpwstr>
  </property>
  <property fmtid="{D5CDD505-2E9C-101B-9397-08002B2CF9AE}" pid="7" name="MSIP_Label_b064f6f3-ba1e-417c-b6f1-929d6caea309_Name">
    <vt:lpwstr>Internal</vt:lpwstr>
  </property>
  <property fmtid="{D5CDD505-2E9C-101B-9397-08002B2CF9AE}" pid="8" name="MSIP_Label_b064f6f3-ba1e-417c-b6f1-929d6caea309_SiteId">
    <vt:lpwstr>0804c951-93a0-405d-80e4-fa87c7551d6a</vt:lpwstr>
  </property>
  <property fmtid="{D5CDD505-2E9C-101B-9397-08002B2CF9AE}" pid="9" name="MSIP_Label_b064f6f3-ba1e-417c-b6f1-929d6caea309_ActionId">
    <vt:lpwstr>d8637ef4-17d4-4f35-949a-6aa585366012</vt:lpwstr>
  </property>
  <property fmtid="{D5CDD505-2E9C-101B-9397-08002B2CF9AE}" pid="10" name="MSIP_Label_b064f6f3-ba1e-417c-b6f1-929d6caea309_ContentBits">
    <vt:lpwstr>1</vt:lpwstr>
  </property>
</Properties>
</file>