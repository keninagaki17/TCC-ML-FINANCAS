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agaki\OneDrive - Digicorner\Desktop\Trabalho de Conclusão de Curso - UFRJ.2025\Correção\versão atualizada\TESTE BITCOIN\"/>
    </mc:Choice>
  </mc:AlternateContent>
  <xr:revisionPtr revIDLastSave="0" documentId="13_ncr:1_{6B6E422C-C1FD-4F70-BB6F-8CB3FBF118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oes_2024" sheetId="1" r:id="rId1"/>
    <sheet name="metricas_h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D14" i="1" l="1"/>
  <c r="E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<sst xmlns="http://schemas.openxmlformats.org/spreadsheetml/2006/main" count="13" uniqueCount="13">
  <si>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MAE_hist</t>
  </si>
  <si>
    <t>RMSE_hist</t>
  </si>
  <si>
    <t>R2_hist</t>
  </si>
  <si>
    <t>max_depth</t>
  </si>
  <si>
    <t>min_samples_leaf</t>
  </si>
  <si>
    <t>min_samples_split</t>
  </si>
  <si>
    <t>n_estimators</t>
  </si>
  <si>
    <t>Erro Absoluto</t>
  </si>
  <si>
    <t>Erro quadrado</t>
  </si>
  <si>
    <t>Métricas</t>
  </si>
  <si>
    <t>Data</t>
  </si>
  <si>
    <t>Valores Previstos</t>
  </si>
  <si>
    <t>Valores 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</si>
</sst>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43" fontId="0" fillId="0" borderId="0" xfId="1" applyFont="1"/>
    <xf numFmtId="9" fontId="0" fillId="0" borderId="0" xfId="2" applyFont="1"/>
    <xf numFmtId="14" fontId="0" fillId="0" borderId="1" xfId="0" applyNumberFormat="1" applyBorder="1"/>
    <xf numFmtId="43" fontId="0" fillId="0" borderId="1" xfId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E13"/>
    </sheetView>
  </sheetViews>
  <sheetFormatPr defaultRowHeight="14.5" x14ac:dyDescent="0.35"/>
  <cols>
    <col min="1" max="1" width="10.453125" bestFit="1" customWidth="1"/>
    <col min="2" max="2" width="15.26953125" bestFit="1" customWidth="1"/>
    <col min="3" max="3" width="11.54296875" bestFit="1" customWidth="1"/>
    <col min="4" max="4" width="12.36328125" bestFit="1" customWidth="1"/>
    <col min="5" max="5" width="16.26953125" bestFit="1" customWidth="1"/>
    <col min="6" max="6" width="5.90625" bestFit="1" customWidth="1"/>
  </cols>
  <sheetData>
    <row r="1" spans="1:6" x14ac:dyDescent="0.35">
      <c r="A1" s="1" t="s">
        <v>10</v>
      </c>
      <c r="B1" s="1" t="s">
        <v>11</v>
      </c>
      <c r="C1" s="2" t="s">
        <v>12</v>
      </c>
      <c r="D1" s="2" t="s">
        <v>7</v>
      </c>
      <c r="E1" s="2" t="s">
        <v>8</v>
      </c>
    </row>
    <row r="2" spans="1:6" x14ac:dyDescent="0.35">
      <c r="A2" s="5">
        <v>45292</v>
      </c>
      <c r="B2" s="6">
        <v>43831.316000000043</v>
      </c>
      <c r="C2" s="6">
        <v>42580.5</v>
      </c>
      <c r="D2" s="6">
        <f>ABS(B2-C2)</f>
        <v>1250.8160000000425</v>
      </c>
      <c r="E2" s="6">
        <f>(B2-C2)^2</f>
        <v>1564540.6658561064</v>
      </c>
      <c r="F2" s="4"/>
    </row>
    <row r="3" spans="1:6" x14ac:dyDescent="0.35">
      <c r="A3" s="5">
        <v>45323</v>
      </c>
      <c r="B3" s="6">
        <v>41038.891000000083</v>
      </c>
      <c r="C3" s="6">
        <v>61169.3</v>
      </c>
      <c r="D3" s="6">
        <f>ABS(B3-C3)</f>
        <v>20130.40899999992</v>
      </c>
      <c r="E3" s="6">
        <f>(B3-C3)^2</f>
        <v>405233366.50727779</v>
      </c>
      <c r="F3" s="4"/>
    </row>
    <row r="4" spans="1:6" x14ac:dyDescent="0.35">
      <c r="A4" s="5">
        <v>45352</v>
      </c>
      <c r="B4" s="6">
        <v>39634.646500000053</v>
      </c>
      <c r="C4" s="6">
        <v>71332</v>
      </c>
      <c r="D4" s="6">
        <f>ABS(B4-C4)</f>
        <v>31697.353499999947</v>
      </c>
      <c r="E4" s="6">
        <f>(B4-C4)^2</f>
        <v>1004722218.9039589</v>
      </c>
      <c r="F4" s="4"/>
    </row>
    <row r="5" spans="1:6" x14ac:dyDescent="0.35">
      <c r="A5" s="5">
        <v>45383</v>
      </c>
      <c r="B5" s="6">
        <v>38630.830000000053</v>
      </c>
      <c r="C5" s="6">
        <v>60666.6</v>
      </c>
      <c r="D5" s="6">
        <f>ABS(B5-C5)</f>
        <v>22035.769999999946</v>
      </c>
      <c r="E5" s="6">
        <f>(B5-C5)^2</f>
        <v>485575159.49289763</v>
      </c>
      <c r="F5" s="4"/>
    </row>
    <row r="6" spans="1:6" x14ac:dyDescent="0.35">
      <c r="A6" s="5">
        <v>45413</v>
      </c>
      <c r="B6" s="6">
        <v>38386.46450000006</v>
      </c>
      <c r="C6" s="6">
        <v>67530.100000000006</v>
      </c>
      <c r="D6" s="6">
        <f>ABS(B6-C6)</f>
        <v>29143.635499999946</v>
      </c>
      <c r="E6" s="6">
        <f>(B6-C6)^2</f>
        <v>849351490.15685713</v>
      </c>
      <c r="F6" s="4"/>
    </row>
    <row r="7" spans="1:6" x14ac:dyDescent="0.35">
      <c r="A7" s="5">
        <v>45444</v>
      </c>
      <c r="B7" s="6">
        <v>38832.968000000074</v>
      </c>
      <c r="C7" s="6">
        <v>62754.3</v>
      </c>
      <c r="D7" s="6">
        <f>ABS(B7-C7)</f>
        <v>23921.331999999929</v>
      </c>
      <c r="E7" s="6">
        <f>(B7-C7)^2</f>
        <v>572230124.65422058</v>
      </c>
      <c r="F7" s="4"/>
    </row>
    <row r="8" spans="1:6" x14ac:dyDescent="0.35">
      <c r="A8" s="5">
        <v>45474</v>
      </c>
      <c r="B8" s="6">
        <v>39697.203000000067</v>
      </c>
      <c r="C8" s="6">
        <v>64626</v>
      </c>
      <c r="D8" s="6">
        <f>ABS(B8-C8)</f>
        <v>24928.796999999933</v>
      </c>
      <c r="E8" s="6">
        <f>(B8-C8)^2</f>
        <v>621444919.86720562</v>
      </c>
      <c r="F8" s="4"/>
    </row>
    <row r="9" spans="1:6" x14ac:dyDescent="0.35">
      <c r="A9" s="5">
        <v>45505</v>
      </c>
      <c r="B9" s="6">
        <v>40241.430000000058</v>
      </c>
      <c r="C9" s="6">
        <v>58978.6</v>
      </c>
      <c r="D9" s="6">
        <f>ABS(B9-C9)</f>
        <v>18737.16999999994</v>
      </c>
      <c r="E9" s="6">
        <f>(B9-C9)^2</f>
        <v>351081539.60889775</v>
      </c>
      <c r="F9" s="4"/>
    </row>
    <row r="10" spans="1:6" x14ac:dyDescent="0.35">
      <c r="A10" s="5">
        <v>45536</v>
      </c>
      <c r="B10" s="6">
        <v>40311.706000000042</v>
      </c>
      <c r="C10" s="6">
        <v>63339.199999999997</v>
      </c>
      <c r="D10" s="6">
        <f>ABS(B10-C10)</f>
        <v>23027.493999999955</v>
      </c>
      <c r="E10" s="6">
        <f>(B10-C10)^2</f>
        <v>530265479.92003393</v>
      </c>
      <c r="F10" s="4"/>
    </row>
    <row r="11" spans="1:6" x14ac:dyDescent="0.35">
      <c r="A11" s="5">
        <v>45566</v>
      </c>
      <c r="B11" s="6">
        <v>40672.845500000047</v>
      </c>
      <c r="C11" s="6">
        <v>70281.8</v>
      </c>
      <c r="D11" s="6">
        <f>ABS(B11-C11)</f>
        <v>29608.954499999956</v>
      </c>
      <c r="E11" s="6">
        <f>(B11-C11)^2</f>
        <v>876690186.58306766</v>
      </c>
      <c r="F11" s="4"/>
    </row>
    <row r="12" spans="1:6" x14ac:dyDescent="0.35">
      <c r="A12" s="5">
        <v>45597</v>
      </c>
      <c r="B12" s="6">
        <v>40705.043500000043</v>
      </c>
      <c r="C12" s="6">
        <v>96405.7</v>
      </c>
      <c r="D12" s="6">
        <f>ABS(B12-C12)</f>
        <v>55700.656499999954</v>
      </c>
      <c r="E12" s="6">
        <f>(B12-C12)^2</f>
        <v>3102563134.5309873</v>
      </c>
      <c r="F12" s="4"/>
    </row>
    <row r="13" spans="1:6" x14ac:dyDescent="0.35">
      <c r="A13" s="5">
        <v>45627</v>
      </c>
      <c r="B13" s="6">
        <v>40192.18350000005</v>
      </c>
      <c r="C13" s="6">
        <v>93557.2</v>
      </c>
      <c r="D13" s="6">
        <f>ABS(B13-C13)</f>
        <v>53365.016499999947</v>
      </c>
      <c r="E13" s="6">
        <f>(B13-C13)^2</f>
        <v>2847824986.0452666</v>
      </c>
      <c r="F13" s="4"/>
    </row>
    <row r="14" spans="1:6" x14ac:dyDescent="0.35">
      <c r="C14" t="s">
        <v>9</v>
      </c>
      <c r="D14" s="3">
        <f>AVERAGE(D2:D13)</f>
        <v>27795.617041666617</v>
      </c>
      <c r="E14" s="3">
        <f>SQRT(AVERAGE(E2:E13))</f>
        <v>31156.255587677904</v>
      </c>
      <c r="F14" s="4" cm="1">
        <f t="array" ref="F14">1-SUMPRODUCT((C2:C13-B2:B13)^2)/SUMPRODUCT((C2:C13-AVERAGE(C2:C13))^2)</f>
        <v>-3.9263509549536995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10971.122914285719</v>
      </c>
      <c r="B2">
        <v>15376.44562131957</v>
      </c>
      <c r="C2">
        <v>-0.56505624191710568</v>
      </c>
      <c r="D2">
        <v>9</v>
      </c>
      <c r="E2">
        <v>1</v>
      </c>
      <c r="F2">
        <v>2</v>
      </c>
      <c r="G2">
        <v>200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predicoes_2024</vt:lpstr>
      <vt:lpstr>metricas_hist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Vasconcelos Inagaki-External</cp:lastModifiedBy>
  <dcterms:created xsi:type="dcterms:W3CDTF">2025-11-08T18:05:39Z</dcterms:created>
  <dcterms:modified xsi:type="dcterms:W3CDTF">2025-11-10T05:38:52Z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064f6f3-ba1e-417c-b6f1-929d6caea309_Enabled">
    <vt:lpwstr>true</vt:lpwstr>
  </property>
  <property fmtid="{D5CDD505-2E9C-101B-9397-08002B2CF9AE}" pid="5" name="MSIP_Label_b064f6f3-ba1e-417c-b6f1-929d6caea309_SetDate">
    <vt:lpwstr>2025-11-08T18:11:40Z</vt:lpwstr>
  </property>
  <property fmtid="{D5CDD505-2E9C-101B-9397-08002B2CF9AE}" pid="6" name="MSIP_Label_b064f6f3-ba1e-417c-b6f1-929d6caea309_Method">
    <vt:lpwstr>Privileged</vt:lpwstr>
  </property>
  <property fmtid="{D5CDD505-2E9C-101B-9397-08002B2CF9AE}" pid="7" name="MSIP_Label_b064f6f3-ba1e-417c-b6f1-929d6caea309_Name">
    <vt:lpwstr>Internal</vt:lpwstr>
  </property>
  <property fmtid="{D5CDD505-2E9C-101B-9397-08002B2CF9AE}" pid="8" name="MSIP_Label_b064f6f3-ba1e-417c-b6f1-929d6caea309_SiteId">
    <vt:lpwstr>0804c951-93a0-405d-80e4-fa87c7551d6a</vt:lpwstr>
  </property>
  <property fmtid="{D5CDD505-2E9C-101B-9397-08002B2CF9AE}" pid="9" name="MSIP_Label_b064f6f3-ba1e-417c-b6f1-929d6caea309_ActionId">
    <vt:lpwstr>1f62a59f-aebb-4602-9cce-a4a4e057aa33</vt:lpwstr>
  </property>
  <property fmtid="{D5CDD505-2E9C-101B-9397-08002B2CF9AE}" pid="10" name="MSIP_Label_b064f6f3-ba1e-417c-b6f1-929d6caea309_ContentBits">
    <vt:lpwstr>1</vt:lpwstr>
  </property>
</Properties>
</file>