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agaki\OneDrive - Digicorner\Desktop\Trabalho de Conclusão de Curso - UFRJ.2025\Correção\versão atualizada\TESTE BITCOIN\"/>
    </mc:Choice>
  </mc:AlternateContent>
  <xr:revisionPtr revIDLastSave="0" documentId="13_ncr:1_{C1D6A0C9-5A1F-4BEC-9501-F37CDD7A9D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dicoes_2024" sheetId="1" r:id="rId1"/>
    <sheet name="metricas_h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14" i="1" l="1"/>
  <c r="D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<sst xmlns="http://schemas.openxmlformats.org/spreadsheetml/2006/main" count="10" uniqueCount="10">
  <si>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MAE_hist</t>
  </si>
  <si>
    <t>RMSE_hist</t>
  </si>
  <si>
    <t>R2_hist</t>
  </si>
  <si>
    <t>m__alpha</t>
  </si>
  <si>
    <t>Erro Absoluto</t>
  </si>
  <si>
    <t>Erro quadrado</t>
  </si>
  <si>
    <t>Data</t>
  </si>
  <si>
    <t>Valores Previstos</t>
  </si>
  <si>
    <t>Valores reais</t>
  </si>
  <si>
    <t>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</si>
</sst>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1" fillId="0" borderId="1" xfId="0" applyFont="1" applyBorder="1"/>
    <xf numFmtId="9" fontId="0" fillId="0" borderId="0" xfId="2" applyFont="1"/>
    <xf numFmtId="14" fontId="0" fillId="0" borderId="1" xfId="0" applyNumberFormat="1" applyBorder="1"/>
    <xf numFmtId="43" fontId="0" fillId="0" borderId="1" xfId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F1"/>
    </sheetView>
  </sheetViews>
  <sheetFormatPr defaultRowHeight="14.5" x14ac:dyDescent="0.35"/>
  <cols>
    <col min="1" max="1" width="10.453125" bestFit="1" customWidth="1"/>
    <col min="2" max="2" width="15.26953125" bestFit="1" customWidth="1"/>
    <col min="3" max="3" width="11.54296875" bestFit="1" customWidth="1"/>
    <col min="4" max="4" width="12.36328125" bestFit="1" customWidth="1"/>
    <col min="5" max="5" width="16.26953125" bestFit="1" customWidth="1"/>
    <col min="6" max="6" width="14.1796875" bestFit="1" customWidth="1"/>
  </cols>
  <sheetData>
    <row r="1" spans="1:6" x14ac:dyDescent="0.35">
      <c r="A1" s="1" t="s">
        <v>6</v>
      </c>
      <c r="B1" s="1" t="s">
        <v>7</v>
      </c>
      <c r="C1" s="3" t="s">
        <v>8</v>
      </c>
      <c r="D1" s="3" t="s">
        <v>4</v>
      </c>
      <c r="E1" s="3" t="s">
        <v>5</v>
      </c>
    </row>
    <row r="2" spans="1:6" x14ac:dyDescent="0.35">
      <c r="A2" s="5">
        <v>45292</v>
      </c>
      <c r="B2" s="6">
        <v>41784.328090924741</v>
      </c>
      <c r="C2" s="6">
        <v>42580.5</v>
      </c>
      <c r="D2" s="6">
        <f>ABS(B2-C2)</f>
        <v>796.17190907525946</v>
      </c>
      <c r="E2" s="6">
        <f>(B2-C2)^2</f>
        <v>633889.70880054322</v>
      </c>
      <c r="F2" s="4"/>
    </row>
    <row r="3" spans="1:6" x14ac:dyDescent="0.35">
      <c r="A3" s="5">
        <v>45323</v>
      </c>
      <c r="B3" s="6">
        <v>39693.58586549887</v>
      </c>
      <c r="C3" s="6">
        <v>61169.3</v>
      </c>
      <c r="D3" s="6">
        <f>ABS(B3-C3)</f>
        <v>21475.714134501133</v>
      </c>
      <c r="E3" s="6">
        <f>(B3-C3)^2</f>
        <v>461206297.58681178</v>
      </c>
      <c r="F3" s="4"/>
    </row>
    <row r="4" spans="1:6" x14ac:dyDescent="0.35">
      <c r="A4" s="5">
        <v>45352</v>
      </c>
      <c r="B4" s="6">
        <v>39752.094132579761</v>
      </c>
      <c r="C4" s="6">
        <v>71332</v>
      </c>
      <c r="D4" s="6">
        <f>ABS(B4-C4)</f>
        <v>31579.905867420239</v>
      </c>
      <c r="E4" s="6">
        <f>(B4-C4)^2</f>
        <v>997290454.59512317</v>
      </c>
      <c r="F4" s="4"/>
    </row>
    <row r="5" spans="1:6" x14ac:dyDescent="0.35">
      <c r="A5" s="5">
        <v>45383</v>
      </c>
      <c r="B5" s="6">
        <v>39339.293653583787</v>
      </c>
      <c r="C5" s="6">
        <v>60666.6</v>
      </c>
      <c r="D5" s="6">
        <f>ABS(B5-C5)</f>
        <v>21327.306346416211</v>
      </c>
      <c r="E5" s="6">
        <f>(B5-C5)^2</f>
        <v>454853995.99388522</v>
      </c>
      <c r="F5" s="4"/>
    </row>
    <row r="6" spans="1:6" x14ac:dyDescent="0.35">
      <c r="A6" s="5">
        <v>45413</v>
      </c>
      <c r="B6" s="6">
        <v>40242.625612891192</v>
      </c>
      <c r="C6" s="6">
        <v>67530.100000000006</v>
      </c>
      <c r="D6" s="6">
        <f>ABS(B6-C6)</f>
        <v>27287.474387108814</v>
      </c>
      <c r="E6" s="6">
        <f>(B6-C6)^2</f>
        <v>744606258.42711949</v>
      </c>
      <c r="F6" s="4"/>
    </row>
    <row r="7" spans="1:6" x14ac:dyDescent="0.35">
      <c r="A7" s="5">
        <v>45444</v>
      </c>
      <c r="B7" s="6">
        <v>41604.298257753399</v>
      </c>
      <c r="C7" s="6">
        <v>62754.3</v>
      </c>
      <c r="D7" s="6">
        <f>ABS(B7-C7)</f>
        <v>21150.001742246604</v>
      </c>
      <c r="E7" s="6">
        <f>(B7-C7)^2</f>
        <v>447322573.69703442</v>
      </c>
      <c r="F7" s="4"/>
    </row>
    <row r="8" spans="1:6" x14ac:dyDescent="0.35">
      <c r="A8" s="5">
        <v>45474</v>
      </c>
      <c r="B8" s="6">
        <v>43034.943549320407</v>
      </c>
      <c r="C8" s="6">
        <v>64626</v>
      </c>
      <c r="D8" s="6">
        <f>ABS(B8-C8)</f>
        <v>21591.056450679593</v>
      </c>
      <c r="E8" s="6">
        <f>(B8-C8)^2</f>
        <v>466173718.65643287</v>
      </c>
      <c r="F8" s="4"/>
    </row>
    <row r="9" spans="1:6" x14ac:dyDescent="0.35">
      <c r="A9" s="5">
        <v>45505</v>
      </c>
      <c r="B9" s="6">
        <v>44147.322552599479</v>
      </c>
      <c r="C9" s="6">
        <v>58978.6</v>
      </c>
      <c r="D9" s="6">
        <f>ABS(B9-C9)</f>
        <v>14831.27744740052</v>
      </c>
      <c r="E9" s="6">
        <f>(B9-C9)^2</f>
        <v>219966790.7217713</v>
      </c>
      <c r="F9" s="4"/>
    </row>
    <row r="10" spans="1:6" x14ac:dyDescent="0.35">
      <c r="A10" s="5">
        <v>45536</v>
      </c>
      <c r="B10" s="6">
        <v>45514.358974329851</v>
      </c>
      <c r="C10" s="6">
        <v>63339.199999999997</v>
      </c>
      <c r="D10" s="6">
        <f>ABS(B10-C10)</f>
        <v>17824.841025670146</v>
      </c>
      <c r="E10" s="6">
        <f>(B10-C10)^2</f>
        <v>317724957.59041357</v>
      </c>
      <c r="F10" s="4"/>
    </row>
    <row r="11" spans="1:6" x14ac:dyDescent="0.35">
      <c r="A11" s="5">
        <v>45566</v>
      </c>
      <c r="B11" s="6">
        <v>46796.57673580492</v>
      </c>
      <c r="C11" s="6">
        <v>70281.8</v>
      </c>
      <c r="D11" s="6">
        <f>ABS(B11-C11)</f>
        <v>23485.223264195083</v>
      </c>
      <c r="E11" s="6">
        <f>(B11-C11)^2</f>
        <v>551555711.76908994</v>
      </c>
      <c r="F11" s="4"/>
    </row>
    <row r="12" spans="1:6" x14ac:dyDescent="0.35">
      <c r="A12" s="5">
        <v>45597</v>
      </c>
      <c r="B12" s="6">
        <v>48253.547669725733</v>
      </c>
      <c r="C12" s="6">
        <v>96405.7</v>
      </c>
      <c r="D12" s="6">
        <f>ABS(B12-C12)</f>
        <v>48152.152330274264</v>
      </c>
      <c r="E12" s="6">
        <f>(B12-C12)^2</f>
        <v>2318629774.0379372</v>
      </c>
      <c r="F12" s="4"/>
    </row>
    <row r="13" spans="1:6" x14ac:dyDescent="0.35">
      <c r="A13" s="5">
        <v>45627</v>
      </c>
      <c r="B13" s="6">
        <v>49729.567616684457</v>
      </c>
      <c r="C13" s="6">
        <v>93557.2</v>
      </c>
      <c r="D13" s="6">
        <f>ABS(B13-C13)</f>
        <v>43827.63238331554</v>
      </c>
      <c r="E13" s="6">
        <f>(B13-C13)^2</f>
        <v>1920861360.327049</v>
      </c>
      <c r="F13" s="4"/>
    </row>
    <row r="14" spans="1:6" x14ac:dyDescent="0.35">
      <c r="C14" t="s">
        <v>9</v>
      </c>
      <c r="D14" s="2">
        <f>AVERAGE(D2:D13)</f>
        <v>24444.063107358616</v>
      </c>
      <c r="E14" s="2">
        <f>SQRT(AVERAGE(E2:E13))</f>
        <v>27234.821128951</v>
      </c>
      <c r="F14" s="4" cm="1">
        <f t="array" ref="F14">1-SUMPRODUCT((C2:C13-B2:B13)^2)/SUMPRODUCT((C2:C13-AVERAGE(C2:C13))^2)</f>
        <v>-2.7642970443777202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74551.564999906113</v>
      </c>
      <c r="B2">
        <v>406223.28001586947</v>
      </c>
      <c r="C2">
        <v>-1091.3143839398399</v>
      </c>
      <c r="D2">
        <v>2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predicoes_2024</vt:lpstr>
      <vt:lpstr>metricas_hist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Vasconcelos Inagaki-External</cp:lastModifiedBy>
  <dcterms:created xsi:type="dcterms:W3CDTF">2025-11-08T17:55:52Z</dcterms:created>
  <dcterms:modified xsi:type="dcterms:W3CDTF">2025-11-10T05:38:55Z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064f6f3-ba1e-417c-b6f1-929d6caea309_Enabled">
    <vt:lpwstr>true</vt:lpwstr>
  </property>
  <property fmtid="{D5CDD505-2E9C-101B-9397-08002B2CF9AE}" pid="5" name="MSIP_Label_b064f6f3-ba1e-417c-b6f1-929d6caea309_SetDate">
    <vt:lpwstr>2025-11-08T17:56:11Z</vt:lpwstr>
  </property>
  <property fmtid="{D5CDD505-2E9C-101B-9397-08002B2CF9AE}" pid="6" name="MSIP_Label_b064f6f3-ba1e-417c-b6f1-929d6caea309_Method">
    <vt:lpwstr>Privileged</vt:lpwstr>
  </property>
  <property fmtid="{D5CDD505-2E9C-101B-9397-08002B2CF9AE}" pid="7" name="MSIP_Label_b064f6f3-ba1e-417c-b6f1-929d6caea309_Name">
    <vt:lpwstr>Internal</vt:lpwstr>
  </property>
  <property fmtid="{D5CDD505-2E9C-101B-9397-08002B2CF9AE}" pid="8" name="MSIP_Label_b064f6f3-ba1e-417c-b6f1-929d6caea309_SiteId">
    <vt:lpwstr>0804c951-93a0-405d-80e4-fa87c7551d6a</vt:lpwstr>
  </property>
  <property fmtid="{D5CDD505-2E9C-101B-9397-08002B2CF9AE}" pid="9" name="MSIP_Label_b064f6f3-ba1e-417c-b6f1-929d6caea309_ActionId">
    <vt:lpwstr>01cc631d-ba6c-4569-8b36-e8988165f3fc</vt:lpwstr>
  </property>
  <property fmtid="{D5CDD505-2E9C-101B-9397-08002B2CF9AE}" pid="10" name="MSIP_Label_b064f6f3-ba1e-417c-b6f1-929d6caea309_ContentBits">
    <vt:lpwstr>1</vt:lpwstr>
  </property>
</Properties>
</file>