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agaki\OneDrive - Digicorner\Desktop\Trabalho de Conclusão de Curso - UFRJ.2025\Correção\versão atualizada\TESTE BITCOIN\"/>
    </mc:Choice>
  </mc:AlternateContent>
  <xr:revisionPtr revIDLastSave="0" documentId="13_ncr:1_{D4B558B0-E85B-460D-84B5-053F79DE0B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dicoes_2024" sheetId="1" r:id="rId1"/>
    <sheet name="metricas_hist" sheetId="2" r:id="rId2"/>
    <sheet name="importancias_tre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 a="1"/>
  <c r="F14" i="1" s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E14" i="1" l="1"/>
  <c r="D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<sst xmlns="http://schemas.openxmlformats.org/spreadsheetml/2006/main" count="25" uniqueCount="25">
  <si>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MAE_hist</t>
  </si>
  <si>
    <t>RMSE_hist</t>
  </si>
  <si>
    <t>R2_hist</t>
  </si>
  <si>
    <t>max_depth</t>
  </si>
  <si>
    <t>max_features</t>
  </si>
  <si>
    <t>min_samples_leaf</t>
  </si>
  <si>
    <t>min_samples_split</t>
  </si>
  <si>
    <t>log2</t>
  </si>
  <si>
    <t>variavel</t>
  </si>
  <si>
    <t>importancia</t>
  </si>
  <si>
    <t>importancia_%</t>
  </si>
  <si>
    <t>mm3</t>
  </si>
  <si>
    <t>mm12</t>
  </si>
  <si>
    <t>volrel</t>
  </si>
  <si>
    <t>momentum3</t>
  </si>
  <si>
    <t>ret_m</t>
  </si>
  <si>
    <t>mm6</t>
  </si>
  <si>
    <t>vol3</t>
  </si>
  <si>
    <t>vol6</t>
  </si>
  <si>
    <t>Erro Absoluto</t>
  </si>
  <si>
    <t>Erro quadrado</t>
  </si>
  <si>
    <t>Data</t>
  </si>
  <si>
    <t>Valores Previstos</t>
  </si>
  <si>
    <t>Valores reais</t>
  </si>
  <si>
    <t>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</si>
</sst>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1" fillId="0" borderId="1" xfId="0" applyFont="1" applyBorder="1"/>
    <xf numFmtId="9" fontId="0" fillId="0" borderId="0" xfId="2" applyFont="1"/>
    <xf numFmtId="14" fontId="0" fillId="0" borderId="1" xfId="0" applyNumberFormat="1" applyBorder="1"/>
    <xf numFmtId="43" fontId="0" fillId="0" borderId="1" xfId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4" sqref="F14"/>
    </sheetView>
  </sheetViews>
  <sheetFormatPr defaultRowHeight="14.5" x14ac:dyDescent="0.35"/>
  <cols>
    <col min="1" max="1" width="10.453125" bestFit="1" customWidth="1"/>
    <col min="2" max="2" width="15.26953125" bestFit="1" customWidth="1"/>
    <col min="3" max="3" width="11.54296875" bestFit="1" customWidth="1"/>
    <col min="4" max="4" width="12.36328125" bestFit="1" customWidth="1"/>
    <col min="5" max="5" width="16.26953125" bestFit="1" customWidth="1"/>
    <col min="6" max="6" width="5.90625" bestFit="1" customWidth="1"/>
  </cols>
  <sheetData>
    <row r="1" spans="1:6" x14ac:dyDescent="0.35">
      <c r="A1" s="1" t="s">
        <v>21</v>
      </c>
      <c r="B1" s="1" t="s">
        <v>22</v>
      </c>
      <c r="C1" s="3" t="s">
        <v>23</v>
      </c>
      <c r="D1" s="3" t="s">
        <v>19</v>
      </c>
      <c r="E1" s="3" t="s">
        <v>20</v>
      </c>
    </row>
    <row r="2" spans="1:6" x14ac:dyDescent="0.35">
      <c r="A2" s="5">
        <v>45292</v>
      </c>
      <c r="B2" s="6">
        <v>37220.35</v>
      </c>
      <c r="C2" s="6">
        <v>42580.5</v>
      </c>
      <c r="D2" s="6">
        <f>ABS(B2-C2)</f>
        <v>5360.1500000000015</v>
      </c>
      <c r="E2" s="6">
        <f>(B2-C2)^2</f>
        <v>28731208.022500016</v>
      </c>
      <c r="F2" s="4"/>
    </row>
    <row r="3" spans="1:6" x14ac:dyDescent="0.35">
      <c r="A3" s="5">
        <v>45323</v>
      </c>
      <c r="B3" s="6">
        <v>37220.35</v>
      </c>
      <c r="C3" s="6">
        <v>61169.3</v>
      </c>
      <c r="D3" s="6">
        <f>ABS(B3-C3)</f>
        <v>23948.950000000004</v>
      </c>
      <c r="E3" s="6">
        <f>(B3-C3)^2</f>
        <v>573552206.1025002</v>
      </c>
      <c r="F3" s="4"/>
    </row>
    <row r="4" spans="1:6" x14ac:dyDescent="0.35">
      <c r="A4" s="5">
        <v>45352</v>
      </c>
      <c r="B4" s="6">
        <v>37220.35</v>
      </c>
      <c r="C4" s="6">
        <v>71332</v>
      </c>
      <c r="D4" s="6">
        <f>ABS(B4-C4)</f>
        <v>34111.65</v>
      </c>
      <c r="E4" s="6">
        <f>(B4-C4)^2</f>
        <v>1163604665.7225001</v>
      </c>
      <c r="F4" s="4"/>
    </row>
    <row r="5" spans="1:6" x14ac:dyDescent="0.35">
      <c r="A5" s="5">
        <v>45383</v>
      </c>
      <c r="B5" s="6">
        <v>37220.35</v>
      </c>
      <c r="C5" s="6">
        <v>60666.6</v>
      </c>
      <c r="D5" s="6">
        <f>ABS(B5-C5)</f>
        <v>23446.25</v>
      </c>
      <c r="E5" s="6">
        <f>(B5-C5)^2</f>
        <v>549726639.0625</v>
      </c>
      <c r="F5" s="4"/>
    </row>
    <row r="6" spans="1:6" x14ac:dyDescent="0.35">
      <c r="A6" s="5">
        <v>45413</v>
      </c>
      <c r="B6" s="6">
        <v>37220.35</v>
      </c>
      <c r="C6" s="6">
        <v>67530.100000000006</v>
      </c>
      <c r="D6" s="6">
        <f>ABS(B6-C6)</f>
        <v>30309.750000000007</v>
      </c>
      <c r="E6" s="6">
        <f>(B6-C6)^2</f>
        <v>918680945.06250048</v>
      </c>
      <c r="F6" s="4"/>
    </row>
    <row r="7" spans="1:6" x14ac:dyDescent="0.35">
      <c r="A7" s="5">
        <v>45444</v>
      </c>
      <c r="B7" s="6">
        <v>37220.35</v>
      </c>
      <c r="C7" s="6">
        <v>62754.3</v>
      </c>
      <c r="D7" s="6">
        <f>ABS(B7-C7)</f>
        <v>25533.950000000004</v>
      </c>
      <c r="E7" s="6">
        <f>(B7-C7)^2</f>
        <v>651982602.6025002</v>
      </c>
      <c r="F7" s="4"/>
    </row>
    <row r="8" spans="1:6" x14ac:dyDescent="0.35">
      <c r="A8" s="5">
        <v>45474</v>
      </c>
      <c r="B8" s="6">
        <v>37220.35</v>
      </c>
      <c r="C8" s="6">
        <v>64626</v>
      </c>
      <c r="D8" s="6">
        <f>ABS(B8-C8)</f>
        <v>27405.65</v>
      </c>
      <c r="E8" s="6">
        <f>(B8-C8)^2</f>
        <v>751069651.92250013</v>
      </c>
      <c r="F8" s="4"/>
    </row>
    <row r="9" spans="1:6" x14ac:dyDescent="0.35">
      <c r="A9" s="5">
        <v>45505</v>
      </c>
      <c r="B9" s="6">
        <v>37220.35</v>
      </c>
      <c r="C9" s="6">
        <v>58978.6</v>
      </c>
      <c r="D9" s="6">
        <f>ABS(B9-C9)</f>
        <v>21758.25</v>
      </c>
      <c r="E9" s="6">
        <f>(B9-C9)^2</f>
        <v>473421443.0625</v>
      </c>
      <c r="F9" s="4"/>
    </row>
    <row r="10" spans="1:6" x14ac:dyDescent="0.35">
      <c r="A10" s="5">
        <v>45536</v>
      </c>
      <c r="B10" s="6">
        <v>37220.35</v>
      </c>
      <c r="C10" s="6">
        <v>63339.199999999997</v>
      </c>
      <c r="D10" s="6">
        <f>ABS(B10-C10)</f>
        <v>26118.85</v>
      </c>
      <c r="E10" s="6">
        <f>(B10-C10)^2</f>
        <v>682194325.32249987</v>
      </c>
      <c r="F10" s="4"/>
    </row>
    <row r="11" spans="1:6" x14ac:dyDescent="0.35">
      <c r="A11" s="5">
        <v>45566</v>
      </c>
      <c r="B11" s="6">
        <v>37220.35</v>
      </c>
      <c r="C11" s="6">
        <v>70281.8</v>
      </c>
      <c r="D11" s="6">
        <f>ABS(B11-C11)</f>
        <v>33061.450000000004</v>
      </c>
      <c r="E11" s="6">
        <f>(B11-C11)^2</f>
        <v>1093059476.1025002</v>
      </c>
      <c r="F11" s="4"/>
    </row>
    <row r="12" spans="1:6" x14ac:dyDescent="0.35">
      <c r="A12" s="5">
        <v>45597</v>
      </c>
      <c r="B12" s="6">
        <v>37220.35</v>
      </c>
      <c r="C12" s="6">
        <v>96405.7</v>
      </c>
      <c r="D12" s="6">
        <f>ABS(B12-C12)</f>
        <v>59185.35</v>
      </c>
      <c r="E12" s="6">
        <f>(B12-C12)^2</f>
        <v>3502905654.6224999</v>
      </c>
      <c r="F12" s="4"/>
    </row>
    <row r="13" spans="1:6" x14ac:dyDescent="0.35">
      <c r="A13" s="5">
        <v>45627</v>
      </c>
      <c r="B13" s="6">
        <v>37220.35</v>
      </c>
      <c r="C13" s="6">
        <v>93557.2</v>
      </c>
      <c r="D13" s="6">
        <f>ABS(B13-C13)</f>
        <v>56336.85</v>
      </c>
      <c r="E13" s="6">
        <f>(B13-C13)^2</f>
        <v>3173840667.9224997</v>
      </c>
      <c r="F13" s="4"/>
    </row>
    <row r="14" spans="1:6" x14ac:dyDescent="0.35">
      <c r="C14" t="s">
        <v>24</v>
      </c>
      <c r="D14" s="2">
        <f>AVERAGE(D2:D13)</f>
        <v>30548.091666666664</v>
      </c>
      <c r="E14" s="2">
        <f>SQRT(AVERAGE(E2:E13))</f>
        <v>33618.905253753182</v>
      </c>
      <c r="F14" s="4" cm="1">
        <f t="array" ref="F14">1-SUMPRODUCT((C2:C13-B2:B13)^2)/SUMPRODUCT((C2:C13-AVERAGE(C2:C13))^2)</f>
        <v>-4.7359052218309827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11325.771156462581</v>
      </c>
      <c r="B2">
        <v>16487.826316037921</v>
      </c>
      <c r="C2">
        <v>-0.79947096427876274</v>
      </c>
      <c r="D2">
        <v>3</v>
      </c>
      <c r="E2" t="s">
        <v>7</v>
      </c>
      <c r="F2">
        <v>1</v>
      </c>
      <c r="G2">
        <v>4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>
        <v>0.63194253900666142</v>
      </c>
      <c r="C2">
        <v>63.194253900666141</v>
      </c>
    </row>
    <row r="3" spans="1:3" x14ac:dyDescent="0.35">
      <c r="A3" t="s">
        <v>12</v>
      </c>
      <c r="B3">
        <v>0.18361722202020569</v>
      </c>
      <c r="C3">
        <v>18.361722202020569</v>
      </c>
    </row>
    <row r="4" spans="1:3" x14ac:dyDescent="0.35">
      <c r="A4" t="s">
        <v>13</v>
      </c>
      <c r="B4">
        <v>0.12299124771356559</v>
      </c>
      <c r="C4">
        <v>12.29912477135656</v>
      </c>
    </row>
    <row r="5" spans="1:3" x14ac:dyDescent="0.35">
      <c r="A5" t="s">
        <v>14</v>
      </c>
      <c r="B5">
        <v>6.0680861376437502E-2</v>
      </c>
      <c r="C5">
        <v>6.0680861376437498</v>
      </c>
    </row>
    <row r="6" spans="1:3" x14ac:dyDescent="0.35">
      <c r="A6" t="s">
        <v>15</v>
      </c>
      <c r="B6">
        <v>7.6812988312983217E-4</v>
      </c>
      <c r="C6">
        <v>7.6812988312983221E-2</v>
      </c>
    </row>
    <row r="7" spans="1:3" x14ac:dyDescent="0.35">
      <c r="A7" t="s">
        <v>16</v>
      </c>
      <c r="B7">
        <v>0</v>
      </c>
      <c r="C7">
        <v>0</v>
      </c>
    </row>
    <row r="8" spans="1:3" x14ac:dyDescent="0.35">
      <c r="A8" t="s">
        <v>17</v>
      </c>
      <c r="B8">
        <v>0</v>
      </c>
      <c r="C8">
        <v>0</v>
      </c>
    </row>
    <row r="9" spans="1:3" x14ac:dyDescent="0.35">
      <c r="A9" t="s">
        <v>18</v>
      </c>
      <c r="B9">
        <v>0</v>
      </c>
      <c r="C9">
        <v>0</v>
      </c>
    </row>
  </sheetData>
  <pageMargins left="0.7" right="0.7" top="0.75" bottom="0.75" header="0.3" footer="0.3"/>
  <headerFooter>
    <oddHeader>&amp;L&amp;"Calibri"&amp;10&amp;K0000FF TechnipFMC |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predicoes_2024</vt:lpstr>
      <vt:lpstr>metricas_hist</vt:lpstr>
      <vt:lpstr>importancias_tree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Vasconcelos Inagaki-External</cp:lastModifiedBy>
  <dcterms:created xsi:type="dcterms:W3CDTF">2025-11-08T17:58:36Z</dcterms:created>
  <dcterms:modified xsi:type="dcterms:W3CDTF">2025-11-10T05:38:49Z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064f6f3-ba1e-417c-b6f1-929d6caea309_Enabled">
    <vt:lpwstr>true</vt:lpwstr>
  </property>
  <property fmtid="{D5CDD505-2E9C-101B-9397-08002B2CF9AE}" pid="5" name="MSIP_Label_b064f6f3-ba1e-417c-b6f1-929d6caea309_SetDate">
    <vt:lpwstr>2025-11-08T18:11:33Z</vt:lpwstr>
  </property>
  <property fmtid="{D5CDD505-2E9C-101B-9397-08002B2CF9AE}" pid="6" name="MSIP_Label_b064f6f3-ba1e-417c-b6f1-929d6caea309_Method">
    <vt:lpwstr>Privileged</vt:lpwstr>
  </property>
  <property fmtid="{D5CDD505-2E9C-101B-9397-08002B2CF9AE}" pid="7" name="MSIP_Label_b064f6f3-ba1e-417c-b6f1-929d6caea309_Name">
    <vt:lpwstr>Internal</vt:lpwstr>
  </property>
  <property fmtid="{D5CDD505-2E9C-101B-9397-08002B2CF9AE}" pid="8" name="MSIP_Label_b064f6f3-ba1e-417c-b6f1-929d6caea309_SiteId">
    <vt:lpwstr>0804c951-93a0-405d-80e4-fa87c7551d6a</vt:lpwstr>
  </property>
  <property fmtid="{D5CDD505-2E9C-101B-9397-08002B2CF9AE}" pid="9" name="MSIP_Label_b064f6f3-ba1e-417c-b6f1-929d6caea309_ActionId">
    <vt:lpwstr>f98f24ad-db8c-493e-82a1-285a16ec4e3b</vt:lpwstr>
  </property>
  <property fmtid="{D5CDD505-2E9C-101B-9397-08002B2CF9AE}" pid="10" name="MSIP_Label_b064f6f3-ba1e-417c-b6f1-929d6caea309_ContentBits">
    <vt:lpwstr>1</vt:lpwstr>
  </property>
</Properties>
</file>