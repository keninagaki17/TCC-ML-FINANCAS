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OVA 11\"/>
    </mc:Choice>
  </mc:AlternateContent>
  <xr:revisionPtr revIDLastSave="0" documentId="13_ncr:1_{052D4569-F25C-42F4-B32A-AC3A5A1232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F14" i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D14" i="1" l="1"/>
  <c r="E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<sst xmlns="http://schemas.openxmlformats.org/spreadsheetml/2006/main" count="17" uniqueCount="15">
  <si>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date</t>
  </si>
  <si>
    <t>close_pred</t>
  </si>
  <si>
    <t>MAE_hist</t>
  </si>
  <si>
    <t>RMSE_hist</t>
  </si>
  <si>
    <t>R2_hist</t>
  </si>
  <si>
    <t>max_depth</t>
  </si>
  <si>
    <t>min_samples_leaf</t>
  </si>
  <si>
    <t>min_samples_split</t>
  </si>
  <si>
    <t>valores reais</t>
  </si>
  <si>
    <t>Erro Absoluto</t>
  </si>
  <si>
    <t>Erro quadrado</t>
  </si>
  <si>
    <t>Métricas</t>
  </si>
  <si>
    <t>Data</t>
  </si>
  <si>
    <t>Valores Previstos</t>
  </si>
  <si>
    <t>Valores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</si>
</sst>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2" fontId="0" fillId="0" borderId="0" xfId="0" applyNumberFormat="1"/>
    <xf numFmtId="9" fontId="0" fillId="0" borderId="0" xfId="1" applyFont="1"/>
    <xf numFmtId="14" fontId="0" fillId="0" borderId="0" xfId="0" applyNumberFormat="1"/>
    <xf numFmtId="14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4" workbookViewId="0">
      <selection activeCell="F25" sqref="F25"/>
    </sheetView>
  </sheetViews>
  <sheetFormatPr defaultRowHeight="14.5" x14ac:dyDescent="0.35"/>
  <cols>
    <col min="1" max="1" width="17.81640625" bestFit="1" customWidth="1"/>
    <col min="2" max="2" width="15.26953125" bestFit="1" customWidth="1"/>
    <col min="3" max="3" width="11.26953125" bestFit="1" customWidth="1"/>
    <col min="4" max="4" width="12.36328125" bestFit="1" customWidth="1"/>
    <col min="5" max="5" width="13.08984375" bestFit="1" customWidth="1"/>
  </cols>
  <sheetData>
    <row r="1" spans="1:6" x14ac:dyDescent="0.35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6" x14ac:dyDescent="0.35">
      <c r="A2" s="5">
        <v>45292</v>
      </c>
      <c r="B2" s="3">
        <v>120.036</v>
      </c>
      <c r="C2">
        <v>123.95</v>
      </c>
      <c r="D2" s="3">
        <f>ABS(B2-C2)</f>
        <v>3.9140000000000015</v>
      </c>
      <c r="E2" s="3">
        <f>(B2-C2)^2</f>
        <v>15.319396000000012</v>
      </c>
    </row>
    <row r="3" spans="1:6" x14ac:dyDescent="0.35">
      <c r="A3" s="5">
        <v>45323</v>
      </c>
      <c r="B3" s="3">
        <v>120.036</v>
      </c>
      <c r="C3">
        <v>125.25</v>
      </c>
      <c r="D3" s="3">
        <f>ABS(B3-C3)</f>
        <v>5.2139999999999986</v>
      </c>
      <c r="E3" s="3">
        <f>(B3-C3)^2</f>
        <v>27.185795999999986</v>
      </c>
    </row>
    <row r="4" spans="1:6" x14ac:dyDescent="0.35">
      <c r="A4" s="5">
        <v>45352</v>
      </c>
      <c r="B4" s="3">
        <v>112.45142857142859</v>
      </c>
      <c r="C4">
        <v>124.33</v>
      </c>
      <c r="D4" s="3">
        <f>ABS(B4-C4)</f>
        <v>11.878571428571405</v>
      </c>
      <c r="E4" s="3">
        <f>(B4-C4)^2</f>
        <v>141.10045918367291</v>
      </c>
    </row>
    <row r="5" spans="1:6" x14ac:dyDescent="0.35">
      <c r="A5" s="5">
        <v>45383</v>
      </c>
      <c r="B5" s="3">
        <v>112.45142857142859</v>
      </c>
      <c r="C5">
        <v>122.38</v>
      </c>
      <c r="D5" s="3">
        <f>ABS(B5-C5)</f>
        <v>9.9285714285714022</v>
      </c>
      <c r="E5" s="3">
        <f>(B5-C5)^2</f>
        <v>98.576530612244369</v>
      </c>
    </row>
    <row r="6" spans="1:6" x14ac:dyDescent="0.35">
      <c r="A6" s="5">
        <v>45413</v>
      </c>
      <c r="B6" s="3">
        <v>112.45142857142859</v>
      </c>
      <c r="C6">
        <v>118.66</v>
      </c>
      <c r="D6" s="3">
        <f>ABS(B6-C6)</f>
        <v>6.2085714285714033</v>
      </c>
      <c r="E6" s="3">
        <f>(B6-C6)^2</f>
        <v>38.546359183673154</v>
      </c>
    </row>
    <row r="7" spans="1:6" x14ac:dyDescent="0.35">
      <c r="A7" s="5">
        <v>45444</v>
      </c>
      <c r="B7" s="3">
        <v>112.45142857142859</v>
      </c>
      <c r="C7">
        <v>120.38</v>
      </c>
      <c r="D7" s="3">
        <f>ABS(B7-C7)</f>
        <v>7.9285714285714022</v>
      </c>
      <c r="E7" s="3">
        <f>(B7-C7)^2</f>
        <v>62.862244897958767</v>
      </c>
    </row>
    <row r="8" spans="1:6" x14ac:dyDescent="0.35">
      <c r="A8" s="5">
        <v>45474</v>
      </c>
      <c r="B8" s="3">
        <v>112.45142857142859</v>
      </c>
      <c r="C8">
        <v>124.04</v>
      </c>
      <c r="D8" s="3">
        <f>ABS(B8-C8)</f>
        <v>11.588571428571413</v>
      </c>
      <c r="E8" s="3">
        <f>(B8-C8)^2</f>
        <v>134.29498775510169</v>
      </c>
    </row>
    <row r="9" spans="1:6" x14ac:dyDescent="0.35">
      <c r="A9" s="5">
        <v>45505</v>
      </c>
      <c r="B9" s="3">
        <v>112.45142857142859</v>
      </c>
      <c r="C9">
        <v>132.6</v>
      </c>
      <c r="D9" s="3">
        <f>ABS(B9-C9)</f>
        <v>20.148571428571401</v>
      </c>
      <c r="E9" s="3">
        <f>(B9-C9)^2</f>
        <v>405.96493061224379</v>
      </c>
    </row>
    <row r="10" spans="1:6" x14ac:dyDescent="0.35">
      <c r="A10" s="5">
        <v>45536</v>
      </c>
      <c r="B10" s="3">
        <v>112.45142857142859</v>
      </c>
      <c r="C10">
        <v>128.43</v>
      </c>
      <c r="D10" s="3">
        <f>ABS(B10-C10)</f>
        <v>15.978571428571414</v>
      </c>
      <c r="E10" s="3">
        <f>(B10-C10)^2</f>
        <v>255.31474489795869</v>
      </c>
    </row>
    <row r="11" spans="1:6" x14ac:dyDescent="0.35">
      <c r="A11" s="5">
        <v>45566</v>
      </c>
      <c r="B11" s="3">
        <v>112.45142857142859</v>
      </c>
      <c r="C11">
        <v>126.26</v>
      </c>
      <c r="D11" s="3">
        <f>ABS(B11-C11)</f>
        <v>13.808571428571412</v>
      </c>
      <c r="E11" s="3">
        <f>(B11-C11)^2</f>
        <v>190.67664489795871</v>
      </c>
    </row>
    <row r="12" spans="1:6" x14ac:dyDescent="0.35">
      <c r="A12" s="5">
        <v>45597</v>
      </c>
      <c r="B12" s="3">
        <v>112.45142857142859</v>
      </c>
      <c r="C12">
        <v>122.32</v>
      </c>
      <c r="D12" s="3">
        <f>ABS(B12-C12)</f>
        <v>9.8685714285713999</v>
      </c>
      <c r="E12" s="3">
        <f>(B12-C12)^2</f>
        <v>97.388702040815758</v>
      </c>
    </row>
    <row r="13" spans="1:6" x14ac:dyDescent="0.35">
      <c r="A13" s="5">
        <v>45627</v>
      </c>
      <c r="B13" s="3">
        <v>112.45142857142859</v>
      </c>
      <c r="C13">
        <v>117.27</v>
      </c>
      <c r="D13" s="3">
        <f>ABS(B13-C13)</f>
        <v>4.8185714285714027</v>
      </c>
      <c r="E13" s="3">
        <f>(B13-C13)^2</f>
        <v>23.218630612244649</v>
      </c>
    </row>
    <row r="14" spans="1:6" x14ac:dyDescent="0.35">
      <c r="C14" t="s">
        <v>11</v>
      </c>
      <c r="D14" s="3">
        <f>AVERAGE(D2:D13)</f>
        <v>10.106976190476171</v>
      </c>
      <c r="E14" s="3">
        <f>SQRT(AVERAGE(E2:E13))</f>
        <v>11.144690165776527</v>
      </c>
      <c r="F14" s="4" cm="1">
        <f t="array" ref="F14">1-SUMPRODUCT((C2:C13-B2:B13)^2)/SUMPRODUCT((C2:C13-AVERAGE(C2:C13))^2)</f>
        <v>-6.7486474262368414</v>
      </c>
    </row>
    <row r="17" spans="1:5" x14ac:dyDescent="0.35">
      <c r="A17" s="1" t="s">
        <v>12</v>
      </c>
      <c r="B17" s="1" t="s">
        <v>13</v>
      </c>
      <c r="C17" s="2" t="s">
        <v>14</v>
      </c>
      <c r="D17" s="2" t="s">
        <v>9</v>
      </c>
      <c r="E17" s="2" t="s">
        <v>10</v>
      </c>
    </row>
    <row r="18" spans="1:5" x14ac:dyDescent="0.35">
      <c r="A18" s="6">
        <v>45292</v>
      </c>
      <c r="B18" s="7">
        <v>120.036</v>
      </c>
      <c r="C18" s="8">
        <v>123.95</v>
      </c>
      <c r="D18" s="7">
        <f>ABS(B18-C18)</f>
        <v>3.9140000000000015</v>
      </c>
      <c r="E18" s="7">
        <f>(B18-C18)^2</f>
        <v>15.319396000000012</v>
      </c>
    </row>
    <row r="19" spans="1:5" x14ac:dyDescent="0.35">
      <c r="A19" s="6">
        <v>45323</v>
      </c>
      <c r="B19" s="7">
        <v>120.036</v>
      </c>
      <c r="C19" s="8">
        <v>125.25</v>
      </c>
      <c r="D19" s="7">
        <f>ABS(B19-C19)</f>
        <v>5.2139999999999986</v>
      </c>
      <c r="E19" s="7">
        <f>(B19-C19)^2</f>
        <v>27.185795999999986</v>
      </c>
    </row>
    <row r="20" spans="1:5" x14ac:dyDescent="0.35">
      <c r="A20" s="6">
        <v>45352</v>
      </c>
      <c r="B20" s="7">
        <v>112.45142857142859</v>
      </c>
      <c r="C20" s="8">
        <v>124.33</v>
      </c>
      <c r="D20" s="7">
        <f>ABS(B20-C20)</f>
        <v>11.878571428571405</v>
      </c>
      <c r="E20" s="7">
        <f>(B20-C20)^2</f>
        <v>141.10045918367291</v>
      </c>
    </row>
    <row r="21" spans="1:5" x14ac:dyDescent="0.35">
      <c r="A21" s="6">
        <v>45383</v>
      </c>
      <c r="B21" s="7">
        <v>112.45142857142859</v>
      </c>
      <c r="C21" s="8">
        <v>122.38</v>
      </c>
      <c r="D21" s="7">
        <f>ABS(B21-C21)</f>
        <v>9.9285714285714022</v>
      </c>
      <c r="E21" s="7">
        <f>(B21-C21)^2</f>
        <v>98.576530612244369</v>
      </c>
    </row>
    <row r="22" spans="1:5" x14ac:dyDescent="0.35">
      <c r="A22" s="6">
        <v>45413</v>
      </c>
      <c r="B22" s="7">
        <v>112.45142857142859</v>
      </c>
      <c r="C22" s="8">
        <v>118.66</v>
      </c>
      <c r="D22" s="7">
        <f>ABS(B22-C22)</f>
        <v>6.2085714285714033</v>
      </c>
      <c r="E22" s="7">
        <f>(B22-C22)^2</f>
        <v>38.546359183673154</v>
      </c>
    </row>
    <row r="23" spans="1:5" x14ac:dyDescent="0.35">
      <c r="A23" s="6">
        <v>45444</v>
      </c>
      <c r="B23" s="7">
        <v>112.45142857142859</v>
      </c>
      <c r="C23" s="8">
        <v>120.38</v>
      </c>
      <c r="D23" s="7">
        <f>ABS(B23-C23)</f>
        <v>7.9285714285714022</v>
      </c>
      <c r="E23" s="7">
        <f>(B23-C23)^2</f>
        <v>62.862244897958767</v>
      </c>
    </row>
    <row r="24" spans="1:5" x14ac:dyDescent="0.35">
      <c r="A24" s="6">
        <v>45474</v>
      </c>
      <c r="B24" s="7">
        <v>112.45142857142859</v>
      </c>
      <c r="C24" s="8">
        <v>124.04</v>
      </c>
      <c r="D24" s="7">
        <f>ABS(B24-C24)</f>
        <v>11.588571428571413</v>
      </c>
      <c r="E24" s="7">
        <f>(B24-C24)^2</f>
        <v>134.29498775510169</v>
      </c>
    </row>
    <row r="25" spans="1:5" x14ac:dyDescent="0.35">
      <c r="A25" s="6">
        <v>45505</v>
      </c>
      <c r="B25" s="7">
        <v>112.45142857142859</v>
      </c>
      <c r="C25" s="8">
        <v>132.6</v>
      </c>
      <c r="D25" s="7">
        <f>ABS(B25-C25)</f>
        <v>20.148571428571401</v>
      </c>
      <c r="E25" s="7">
        <f>(B25-C25)^2</f>
        <v>405.96493061224379</v>
      </c>
    </row>
    <row r="26" spans="1:5" x14ac:dyDescent="0.35">
      <c r="A26" s="6">
        <v>45536</v>
      </c>
      <c r="B26" s="7">
        <v>112.45142857142859</v>
      </c>
      <c r="C26" s="8">
        <v>128.43</v>
      </c>
      <c r="D26" s="7">
        <f>ABS(B26-C26)</f>
        <v>15.978571428571414</v>
      </c>
      <c r="E26" s="7">
        <f>(B26-C26)^2</f>
        <v>255.31474489795869</v>
      </c>
    </row>
    <row r="27" spans="1:5" x14ac:dyDescent="0.35">
      <c r="A27" s="6">
        <v>45566</v>
      </c>
      <c r="B27" s="7">
        <v>112.45142857142859</v>
      </c>
      <c r="C27" s="8">
        <v>126.26</v>
      </c>
      <c r="D27" s="7">
        <f>ABS(B27-C27)</f>
        <v>13.808571428571412</v>
      </c>
      <c r="E27" s="7">
        <f>(B27-C27)^2</f>
        <v>190.67664489795871</v>
      </c>
    </row>
    <row r="28" spans="1:5" x14ac:dyDescent="0.35">
      <c r="A28" s="6">
        <v>45597</v>
      </c>
      <c r="B28" s="7">
        <v>112.45142857142859</v>
      </c>
      <c r="C28" s="8">
        <v>122.32</v>
      </c>
      <c r="D28" s="7">
        <f>ABS(B28-C28)</f>
        <v>9.8685714285713999</v>
      </c>
      <c r="E28" s="7">
        <f>(B28-C28)^2</f>
        <v>97.388702040815758</v>
      </c>
    </row>
    <row r="29" spans="1:5" x14ac:dyDescent="0.35">
      <c r="A29" s="6">
        <v>45627</v>
      </c>
      <c r="B29" s="7">
        <v>112.45142857142859</v>
      </c>
      <c r="C29" s="8">
        <v>117.27</v>
      </c>
      <c r="D29" s="7">
        <f>ABS(B29-C29)</f>
        <v>4.8185714285714027</v>
      </c>
      <c r="E29" s="7">
        <f>(B29-C29)^2</f>
        <v>23.218630612244649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>
        <v>4.4826305916305929</v>
      </c>
      <c r="B2">
        <v>5.5483975578781237</v>
      </c>
      <c r="C2">
        <v>0.37983624299251478</v>
      </c>
      <c r="D2">
        <v>3</v>
      </c>
      <c r="E2">
        <v>1</v>
      </c>
      <c r="F2">
        <v>3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predicoes_2024</vt:lpstr>
      <vt:lpstr>metricas_hist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2025-11-08T17:26:55Z</dcterms:created>
  <dcterms:modified xsi:type="dcterms:W3CDTF">2025-11-10T04:19:40Z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2025-11-08T17:27:13Z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1b43d7f2-05bf-49c5-b92c-2790e4746a52</vt:lpwstr>
  </property>
  <property fmtid="{D5CDD505-2E9C-101B-9397-08002B2CF9AE}" pid="10" name="MSIP_Label_b064f6f3-ba1e-417c-b6f1-929d6caea309_ContentBits">
    <vt:lpwstr>1</vt:lpwstr>
  </property>
</Properties>
</file>